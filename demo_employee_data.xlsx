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4a059fb5261327f5/Desktop/Excel_Adv_331/"/>
    </mc:Choice>
  </mc:AlternateContent>
  <xr:revisionPtr revIDLastSave="5" documentId="13_ncr:1_{F95A6303-4BCC-4368-A850-25071B1736A9}" xr6:coauthVersionLast="47" xr6:coauthVersionMax="47" xr10:uidLastSave="{62C41696-CD19-4D39-95BF-0E2CD6AC822F}"/>
  <bookViews>
    <workbookView xWindow="-108" yWindow="-108" windowWidth="23256" windowHeight="12456" xr2:uid="{6921DB43-1497-4779-8B7F-B647E1CFD8A3}"/>
  </bookViews>
  <sheets>
    <sheet name="demo1" sheetId="2" r:id="rId1"/>
    <sheet name="demo2" sheetId="4" r:id="rId2"/>
  </sheets>
  <definedNames>
    <definedName name="salary">demo1!$G:$G</definedName>
    <definedName name="salary1">Table2[[#Headers],[salary]]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2" i="2" l="1"/>
  <c r="J24" i="2"/>
  <c r="J21" i="2"/>
  <c r="J18" i="2"/>
  <c r="J15" i="2"/>
  <c r="J12" i="2"/>
</calcChain>
</file>

<file path=xl/sharedStrings.xml><?xml version="1.0" encoding="utf-8"?>
<sst xmlns="http://schemas.openxmlformats.org/spreadsheetml/2006/main" count="244" uniqueCount="150">
  <si>
    <t>Excel Sample Data</t>
  </si>
  <si>
    <t>Employee Management Data</t>
  </si>
  <si>
    <t>Employee ID</t>
  </si>
  <si>
    <t>Full Name</t>
  </si>
  <si>
    <t>Department</t>
  </si>
  <si>
    <t>Designation</t>
  </si>
  <si>
    <t>Hire Date</t>
  </si>
  <si>
    <t>Annual Salary (USD)</t>
  </si>
  <si>
    <t>S1001</t>
  </si>
  <si>
    <t>John Smith</t>
  </si>
  <si>
    <t>Human Resources</t>
  </si>
  <si>
    <t>HR Manager</t>
  </si>
  <si>
    <t>S1002</t>
  </si>
  <si>
    <t>Jane Doe</t>
  </si>
  <si>
    <t>Marketing</t>
  </si>
  <si>
    <t>Marketing Specialist</t>
  </si>
  <si>
    <t>S1003</t>
  </si>
  <si>
    <t>Michael Johnson</t>
  </si>
  <si>
    <t>Finance</t>
  </si>
  <si>
    <t>Financial Analyst</t>
  </si>
  <si>
    <t>S1004</t>
  </si>
  <si>
    <t>Emily Brown</t>
  </si>
  <si>
    <t>Sales</t>
  </si>
  <si>
    <t>Sales Representative</t>
  </si>
  <si>
    <t>S1005</t>
  </si>
  <si>
    <t>David Wilson</t>
  </si>
  <si>
    <t>Information Technology</t>
  </si>
  <si>
    <t>IT Specialist</t>
  </si>
  <si>
    <t>S1006</t>
  </si>
  <si>
    <t>Lisa Taylor</t>
  </si>
  <si>
    <t>Operations</t>
  </si>
  <si>
    <t>Operations Manager</t>
  </si>
  <si>
    <t>S1007</t>
  </si>
  <si>
    <t>Daniel Martinez</t>
  </si>
  <si>
    <t>Customer Service</t>
  </si>
  <si>
    <t>Customer Service Representative</t>
  </si>
  <si>
    <t>S1008</t>
  </si>
  <si>
    <t>Sarah Anderson</t>
  </si>
  <si>
    <t>Research and Development</t>
  </si>
  <si>
    <t>R&amp;D Engineer</t>
  </si>
  <si>
    <t>S1009</t>
  </si>
  <si>
    <t>Christopher Thomas</t>
  </si>
  <si>
    <t>Production</t>
  </si>
  <si>
    <t>Production Supervisor</t>
  </si>
  <si>
    <t>S1010</t>
  </si>
  <si>
    <t>Kimberly Garcia</t>
  </si>
  <si>
    <t>Quality Assurance</t>
  </si>
  <si>
    <t>QA Analyst</t>
  </si>
  <si>
    <t>S1011</t>
  </si>
  <si>
    <t>William Hernandez</t>
  </si>
  <si>
    <t>HR Coordinator</t>
  </si>
  <si>
    <t>S1012</t>
  </si>
  <si>
    <t>Melissa Lopez</t>
  </si>
  <si>
    <t>Marketing Manager</t>
  </si>
  <si>
    <t>S1013</t>
  </si>
  <si>
    <t>Richard Perez</t>
  </si>
  <si>
    <t>Finance Manager</t>
  </si>
  <si>
    <t>S1014</t>
  </si>
  <si>
    <t>Jessica Gonzalez</t>
  </si>
  <si>
    <t>Sales Manager</t>
  </si>
  <si>
    <t>S1015</t>
  </si>
  <si>
    <t>Matthew Wilson</t>
  </si>
  <si>
    <t>IT Manager</t>
  </si>
  <si>
    <t>S1016</t>
  </si>
  <si>
    <t>Amanda Martinez</t>
  </si>
  <si>
    <t>Operations Coordinator</t>
  </si>
  <si>
    <t>S1017</t>
  </si>
  <si>
    <t>James Johnson</t>
  </si>
  <si>
    <t>Customer Service Manager</t>
  </si>
  <si>
    <t>S1018</t>
  </si>
  <si>
    <t>Laura Brown</t>
  </si>
  <si>
    <t>R&amp;D Manager</t>
  </si>
  <si>
    <t>S1019</t>
  </si>
  <si>
    <t>Daniel Smith</t>
  </si>
  <si>
    <t>Production Manager</t>
  </si>
  <si>
    <t>S1020</t>
  </si>
  <si>
    <t>Jennifer Davis</t>
  </si>
  <si>
    <t>QA Manager</t>
  </si>
  <si>
    <t>S1021</t>
  </si>
  <si>
    <t>Michael Garcia</t>
  </si>
  <si>
    <t>HR Assistant</t>
  </si>
  <si>
    <t>S1022</t>
  </si>
  <si>
    <t>Amy Hernandez</t>
  </si>
  <si>
    <t>Marketing Coordinator</t>
  </si>
  <si>
    <t>S1023</t>
  </si>
  <si>
    <t>Christopher Rodriguez</t>
  </si>
  <si>
    <t>Senior Financial Analyst</t>
  </si>
  <si>
    <t>S1024</t>
  </si>
  <si>
    <t>Jessica Martinez</t>
  </si>
  <si>
    <t>Senior Sales Representative</t>
  </si>
  <si>
    <t>S1025</t>
  </si>
  <si>
    <t>Senior IT Specialist</t>
  </si>
  <si>
    <t>S1026</t>
  </si>
  <si>
    <t>Sarah Smith</t>
  </si>
  <si>
    <t>Assistant Operations Manager</t>
  </si>
  <si>
    <t>S1027</t>
  </si>
  <si>
    <t>Matthew Johnson</t>
  </si>
  <si>
    <t>Senior Customer Service Representative</t>
  </si>
  <si>
    <t>S1028</t>
  </si>
  <si>
    <t>Emily Davis</t>
  </si>
  <si>
    <t>R&amp;D Technician</t>
  </si>
  <si>
    <t>S1029</t>
  </si>
  <si>
    <t>Daniel Wilson</t>
  </si>
  <si>
    <t>Senior Production Supervisor</t>
  </si>
  <si>
    <t>S1030</t>
  </si>
  <si>
    <t>Jennifer Martinez</t>
  </si>
  <si>
    <t>Senior QA Analyst</t>
  </si>
  <si>
    <t>S1031</t>
  </si>
  <si>
    <t>Michael Smith</t>
  </si>
  <si>
    <t>HR Generalist</t>
  </si>
  <si>
    <t>S1032</t>
  </si>
  <si>
    <t>Jessica Johnson</t>
  </si>
  <si>
    <t>Marketing Assistant</t>
  </si>
  <si>
    <t>S1033</t>
  </si>
  <si>
    <t>David Brown</t>
  </si>
  <si>
    <t>Junior Financial Analyst</t>
  </si>
  <si>
    <t>S1034</t>
  </si>
  <si>
    <t>Sarah Garcia</t>
  </si>
  <si>
    <t>Sales Coordinator</t>
  </si>
  <si>
    <t>S1035</t>
  </si>
  <si>
    <t>Matthew Hernandez</t>
  </si>
  <si>
    <t>Junior IT Specialist</t>
  </si>
  <si>
    <t>S1036</t>
  </si>
  <si>
    <t>Emily Rodriguez</t>
  </si>
  <si>
    <t>Operations Assistant</t>
  </si>
  <si>
    <t>S1037</t>
  </si>
  <si>
    <t>Daniel Davis</t>
  </si>
  <si>
    <t>Customer Service Associate</t>
  </si>
  <si>
    <t>S1038</t>
  </si>
  <si>
    <t>Jennifer Smith</t>
  </si>
  <si>
    <t>R&amp;D Assistant</t>
  </si>
  <si>
    <t>S1039</t>
  </si>
  <si>
    <t>Production Assistant</t>
  </si>
  <si>
    <t>S1040</t>
  </si>
  <si>
    <t>QA Assistant</t>
  </si>
  <si>
    <t>sum of annual salary</t>
  </si>
  <si>
    <t>avg of annual salary</t>
  </si>
  <si>
    <t>min</t>
  </si>
  <si>
    <t>max</t>
  </si>
  <si>
    <t>count</t>
  </si>
  <si>
    <t>sum using name range</t>
  </si>
  <si>
    <t>employee id</t>
  </si>
  <si>
    <t xml:space="preserve">employee name </t>
  </si>
  <si>
    <t>salary</t>
  </si>
  <si>
    <t>Mansi kale</t>
  </si>
  <si>
    <t>using consolidate</t>
  </si>
  <si>
    <t>sum</t>
  </si>
  <si>
    <t>avg</t>
  </si>
  <si>
    <t>consolidate from diff sheets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</si>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</sst>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4"/>
      <color rgb="FF272760"/>
      <name val="Calibri"/>
      <family val="2"/>
    </font>
    <font>
      <sz val="11"/>
      <color theme="1"/>
      <name val="Calibri"/>
      <family val="2"/>
    </font>
    <font>
      <b/>
      <sz val="13"/>
      <color rgb="FF272760"/>
      <name val="Calibri"/>
      <family val="2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27276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15">
    <border>
      <left/>
      <right/>
      <top/>
      <bottom/>
      <diagonal/>
    </border>
    <border>
      <left/>
      <right/>
      <top/>
      <bottom style="medium">
        <color rgb="FF27276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Continuous" vertical="center"/>
    </xf>
    <xf numFmtId="0" fontId="2" fillId="0" borderId="0" xfId="0" applyFont="1"/>
    <xf numFmtId="0" fontId="3" fillId="2" borderId="1" xfId="0" applyFont="1" applyFill="1" applyBorder="1" applyAlignment="1">
      <alignment horizontal="centerContinuous" vertical="center"/>
    </xf>
    <xf numFmtId="0" fontId="4" fillId="3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14" fontId="5" fillId="0" borderId="2" xfId="0" applyNumberFormat="1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14" fontId="5" fillId="0" borderId="9" xfId="0" applyNumberFormat="1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4" borderId="2" xfId="0" applyFont="1" applyFill="1" applyBorder="1" applyAlignment="1">
      <alignment vertical="center"/>
    </xf>
    <xf numFmtId="0" fontId="2" fillId="0" borderId="0" xfId="0" applyFont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/>
    </xf>
    <xf numFmtId="0" fontId="6" fillId="5" borderId="13" xfId="0" applyFont="1" applyFill="1" applyBorder="1" applyAlignment="1">
      <alignment horizontal="center"/>
    </xf>
    <xf numFmtId="0" fontId="6" fillId="5" borderId="14" xfId="0" applyFont="1" applyFill="1" applyBorder="1" applyAlignment="1">
      <alignment horizontal="center"/>
    </xf>
  </cellXfs>
  <cellStyles count="1"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9" formatCode="dd/mm/yyyy"/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family val="2"/>
        <scheme val="none"/>
      </font>
      <fill>
        <patternFill patternType="solid">
          <fgColor indexed="64"/>
          <bgColor rgb="FF2727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95C164-C800-4C2D-A032-135D5E68412E}" name="Table1" displayName="Table1" ref="B6:G46" totalsRowShown="0" headerRowDxfId="21" dataDxfId="19" headerRowBorderDxfId="20" tableBorderDxfId="18" totalsRowBorderDxfId="17">
  <autoFilter ref="B6:G46" xr:uid="{E195C164-C800-4C2D-A032-135D5E68412E}"/>
  <tableColumns count="6">
    <tableColumn id="1" xr3:uid="{42531AD9-3384-4D97-AE96-2B2DC2E17A8D}" name="Employee ID" dataDxfId="16"/>
    <tableColumn id="2" xr3:uid="{205832AC-2D77-4376-BA09-C87CB1360249}" name="Full Name" dataDxfId="15"/>
    <tableColumn id="3" xr3:uid="{F467628A-1B39-49C0-A16E-25567F751798}" name="Department" dataDxfId="14"/>
    <tableColumn id="4" xr3:uid="{1BCD8B80-6080-425C-8DD9-63EB4B4B430E}" name="Designation" dataDxfId="13"/>
    <tableColumn id="5" xr3:uid="{EA9F8882-D3A5-41D6-89D1-AD3F0F22DDAE}" name="Hire Date" dataDxfId="12"/>
    <tableColumn id="6" xr3:uid="{F7CCAEDB-DB5B-4285-90E2-FFA0DD8E9EB4}" name="Annual Salary (USD)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BDA5E8-0A45-493D-85ED-B009C0223BC2}" name="Table2" displayName="Table2" ref="C51:E61" totalsRowShown="0" headerRowDxfId="10">
  <autoFilter ref="C51:E61" xr:uid="{B5BDA5E8-0A45-493D-85ED-B009C0223BC2}"/>
  <tableColumns count="3">
    <tableColumn id="1" xr3:uid="{DAD0D449-5859-4FD6-A119-716782ACC0D9}" name="employee id"/>
    <tableColumn id="2" xr3:uid="{D75C3B34-8E3F-44F7-867D-47CFF3CA9206}" name="employee name "/>
    <tableColumn id="3" xr3:uid="{F09EDF5E-8326-4527-805B-5BB233412A7C}" name="salar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7F62A0F-202E-48CC-9100-25631B37FE53}" name="Table3" displayName="Table3" ref="H51:J60" totalsRowShown="0" headerRowDxfId="9" headerRowBorderDxfId="8" tableBorderDxfId="7">
  <autoFilter ref="H51:J60" xr:uid="{C7F62A0F-202E-48CC-9100-25631B37FE53}"/>
  <tableColumns count="3">
    <tableColumn id="1" xr3:uid="{69159AE4-F415-4EF7-9F37-01AD7E15620B}" name="employee id" dataDxfId="6"/>
    <tableColumn id="2" xr3:uid="{F38CB027-2869-4D06-922B-1D4344540DA7}" name="employee name "/>
    <tableColumn id="3" xr3:uid="{BDCE87A0-797B-47F8-9246-CA5CF0C91B95}" name="salary" dataDxfId="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744D06B-22F6-4911-9E6F-49519DAD8FC7}" name="Table35" displayName="Table35" ref="A1:C10" totalsRowShown="0" headerRowDxfId="4" headerRowBorderDxfId="3" tableBorderDxfId="2">
  <autoFilter ref="A1:C10" xr:uid="{C744D06B-22F6-4911-9E6F-49519DAD8FC7}"/>
  <tableColumns count="3">
    <tableColumn id="1" xr3:uid="{5340DC99-F15D-4156-90DC-4AF71EE9A40A}" name="employee id" dataDxfId="1"/>
    <tableColumn id="2" xr3:uid="{A8E23C73-33C1-4D7E-A406-5453D508CA02}" name="employee name "/>
    <tableColumn id="3" xr3:uid="{78630427-0ACF-4291-A9B0-1A42078363AD}" name="salar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04500-009E-45AC-B4C6-91424CC303B9}">
  <dimension ref="B2:L74"/>
  <sheetViews>
    <sheetView showGridLines="0" tabSelected="1" topLeftCell="C49" zoomScale="88" workbookViewId="0">
      <selection activeCell="J69" sqref="J69"/>
    </sheetView>
  </sheetViews>
  <sheetFormatPr defaultRowHeight="14.4" x14ac:dyDescent="0.3"/>
  <cols>
    <col min="1" max="1" width="3.88671875" style="2" customWidth="1"/>
    <col min="2" max="2" width="14.88671875" style="2" customWidth="1"/>
    <col min="3" max="3" width="19.109375" style="2" customWidth="1"/>
    <col min="4" max="4" width="25.88671875" style="2" bestFit="1" customWidth="1"/>
    <col min="5" max="5" width="31" style="2" customWidth="1"/>
    <col min="6" max="6" width="11.6640625" style="2" customWidth="1"/>
    <col min="7" max="7" width="20.21875" style="2" customWidth="1"/>
    <col min="8" max="8" width="13.77734375" style="2" customWidth="1"/>
    <col min="9" max="9" width="21" style="2" customWidth="1"/>
    <col min="10" max="10" width="24.33203125" style="2" customWidth="1"/>
    <col min="11" max="11" width="8.88671875" style="2"/>
    <col min="12" max="12" width="32.5546875" style="2" customWidth="1"/>
    <col min="13" max="16384" width="8.88671875" style="2"/>
  </cols>
  <sheetData>
    <row r="2" spans="2:12" ht="18.600000000000001" thickBot="1" x14ac:dyDescent="0.35">
      <c r="B2" s="1" t="s">
        <v>0</v>
      </c>
      <c r="C2" s="1"/>
      <c r="D2" s="1"/>
      <c r="E2" s="1"/>
      <c r="F2" s="1"/>
      <c r="G2" s="1"/>
    </row>
    <row r="4" spans="2:12" ht="18.600000000000001" thickBot="1" x14ac:dyDescent="0.35">
      <c r="B4" s="3" t="s">
        <v>1</v>
      </c>
      <c r="C4" s="1"/>
      <c r="D4" s="1"/>
      <c r="E4" s="1"/>
      <c r="F4" s="1"/>
      <c r="G4" s="1"/>
    </row>
    <row r="6" spans="2:12" ht="15.6" x14ac:dyDescent="0.3">
      <c r="B6" s="9" t="s">
        <v>2</v>
      </c>
      <c r="C6" s="10" t="s">
        <v>3</v>
      </c>
      <c r="D6" s="10" t="s">
        <v>4</v>
      </c>
      <c r="E6" s="10" t="s">
        <v>5</v>
      </c>
      <c r="F6" s="10" t="s">
        <v>6</v>
      </c>
      <c r="G6" s="11" t="s">
        <v>7</v>
      </c>
    </row>
    <row r="7" spans="2:12" x14ac:dyDescent="0.3">
      <c r="B7" s="7" t="s">
        <v>8</v>
      </c>
      <c r="C7" s="5" t="s">
        <v>9</v>
      </c>
      <c r="D7" s="5" t="s">
        <v>10</v>
      </c>
      <c r="E7" s="5" t="s">
        <v>11</v>
      </c>
      <c r="F7" s="6">
        <v>45061</v>
      </c>
      <c r="G7" s="8">
        <v>60000</v>
      </c>
    </row>
    <row r="8" spans="2:12" x14ac:dyDescent="0.3">
      <c r="B8" s="7" t="s">
        <v>12</v>
      </c>
      <c r="C8" s="5" t="s">
        <v>13</v>
      </c>
      <c r="D8" s="5" t="s">
        <v>14</v>
      </c>
      <c r="E8" s="5" t="s">
        <v>15</v>
      </c>
      <c r="F8" s="6">
        <v>45158</v>
      </c>
      <c r="G8" s="8">
        <v>50000</v>
      </c>
    </row>
    <row r="9" spans="2:12" x14ac:dyDescent="0.3">
      <c r="B9" s="7" t="s">
        <v>16</v>
      </c>
      <c r="C9" s="5" t="s">
        <v>17</v>
      </c>
      <c r="D9" s="5" t="s">
        <v>18</v>
      </c>
      <c r="E9" s="5" t="s">
        <v>19</v>
      </c>
      <c r="F9" s="6">
        <v>45209</v>
      </c>
      <c r="G9" s="8">
        <v>55000</v>
      </c>
    </row>
    <row r="10" spans="2:12" x14ac:dyDescent="0.3">
      <c r="B10" s="7" t="s">
        <v>20</v>
      </c>
      <c r="C10" s="5" t="s">
        <v>21</v>
      </c>
      <c r="D10" s="5" t="s">
        <v>22</v>
      </c>
      <c r="E10" s="5" t="s">
        <v>23</v>
      </c>
      <c r="F10" s="6">
        <v>45010</v>
      </c>
      <c r="G10" s="8">
        <v>48000</v>
      </c>
    </row>
    <row r="11" spans="2:12" ht="15.6" x14ac:dyDescent="0.3">
      <c r="B11" s="7" t="s">
        <v>24</v>
      </c>
      <c r="C11" s="5" t="s">
        <v>25</v>
      </c>
      <c r="D11" s="5" t="s">
        <v>26</v>
      </c>
      <c r="E11" s="5" t="s">
        <v>27</v>
      </c>
      <c r="F11" s="6">
        <v>45181</v>
      </c>
      <c r="G11" s="8">
        <v>60000</v>
      </c>
      <c r="J11" s="4" t="s">
        <v>135</v>
      </c>
      <c r="L11" s="4" t="s">
        <v>140</v>
      </c>
    </row>
    <row r="12" spans="2:12" x14ac:dyDescent="0.3">
      <c r="B12" s="7" t="s">
        <v>28</v>
      </c>
      <c r="C12" s="5" t="s">
        <v>29</v>
      </c>
      <c r="D12" s="5" t="s">
        <v>30</v>
      </c>
      <c r="E12" s="5" t="s">
        <v>31</v>
      </c>
      <c r="F12" s="6">
        <v>45107</v>
      </c>
      <c r="G12" s="8">
        <v>65000</v>
      </c>
      <c r="J12" s="2">
        <f>SUM(G7:G46)</f>
        <v>2206000</v>
      </c>
      <c r="L12" s="2">
        <f>SUM(salary)</f>
        <v>2206000</v>
      </c>
    </row>
    <row r="13" spans="2:12" x14ac:dyDescent="0.3">
      <c r="B13" s="7" t="s">
        <v>32</v>
      </c>
      <c r="C13" s="5" t="s">
        <v>33</v>
      </c>
      <c r="D13" s="5" t="s">
        <v>34</v>
      </c>
      <c r="E13" s="5" t="s">
        <v>35</v>
      </c>
      <c r="F13" s="6">
        <v>45235</v>
      </c>
      <c r="G13" s="8">
        <v>45000</v>
      </c>
    </row>
    <row r="14" spans="2:12" ht="15.6" x14ac:dyDescent="0.3">
      <c r="B14" s="7" t="s">
        <v>36</v>
      </c>
      <c r="C14" s="5" t="s">
        <v>37</v>
      </c>
      <c r="D14" s="5" t="s">
        <v>38</v>
      </c>
      <c r="E14" s="5" t="s">
        <v>39</v>
      </c>
      <c r="F14" s="6">
        <v>45034</v>
      </c>
      <c r="G14" s="8">
        <v>58000</v>
      </c>
      <c r="J14" s="4" t="s">
        <v>136</v>
      </c>
    </row>
    <row r="15" spans="2:12" x14ac:dyDescent="0.3">
      <c r="B15" s="7" t="s">
        <v>40</v>
      </c>
      <c r="C15" s="5" t="s">
        <v>41</v>
      </c>
      <c r="D15" s="5" t="s">
        <v>42</v>
      </c>
      <c r="E15" s="5" t="s">
        <v>43</v>
      </c>
      <c r="F15" s="6">
        <v>45129</v>
      </c>
      <c r="G15" s="8">
        <v>52000</v>
      </c>
      <c r="J15" s="2">
        <f>AVERAGE(G7:G46)</f>
        <v>55150</v>
      </c>
    </row>
    <row r="16" spans="2:12" x14ac:dyDescent="0.3">
      <c r="B16" s="7" t="s">
        <v>44</v>
      </c>
      <c r="C16" s="5" t="s">
        <v>45</v>
      </c>
      <c r="D16" s="5" t="s">
        <v>46</v>
      </c>
      <c r="E16" s="5" t="s">
        <v>47</v>
      </c>
      <c r="F16" s="6">
        <v>44971</v>
      </c>
      <c r="G16" s="8">
        <v>56000</v>
      </c>
    </row>
    <row r="17" spans="2:10" ht="15.6" x14ac:dyDescent="0.3">
      <c r="B17" s="7" t="s">
        <v>48</v>
      </c>
      <c r="C17" s="5" t="s">
        <v>49</v>
      </c>
      <c r="D17" s="5" t="s">
        <v>10</v>
      </c>
      <c r="E17" s="5" t="s">
        <v>50</v>
      </c>
      <c r="F17" s="6">
        <v>45170</v>
      </c>
      <c r="G17" s="8">
        <v>48000</v>
      </c>
      <c r="J17" s="4" t="s">
        <v>137</v>
      </c>
    </row>
    <row r="18" spans="2:10" x14ac:dyDescent="0.3">
      <c r="B18" s="7" t="s">
        <v>51</v>
      </c>
      <c r="C18" s="5" t="s">
        <v>52</v>
      </c>
      <c r="D18" s="5" t="s">
        <v>14</v>
      </c>
      <c r="E18" s="5" t="s">
        <v>53</v>
      </c>
      <c r="F18" s="6">
        <v>45087</v>
      </c>
      <c r="G18" s="8">
        <v>65000</v>
      </c>
      <c r="J18" s="2">
        <f>MIN(G7:G46)</f>
        <v>40000</v>
      </c>
    </row>
    <row r="19" spans="2:10" x14ac:dyDescent="0.3">
      <c r="B19" s="7" t="s">
        <v>54</v>
      </c>
      <c r="C19" s="5" t="s">
        <v>55</v>
      </c>
      <c r="D19" s="5" t="s">
        <v>18</v>
      </c>
      <c r="E19" s="5" t="s">
        <v>56</v>
      </c>
      <c r="F19" s="6">
        <v>45248</v>
      </c>
      <c r="G19" s="8">
        <v>70000</v>
      </c>
    </row>
    <row r="20" spans="2:10" ht="15.6" x14ac:dyDescent="0.3">
      <c r="B20" s="7" t="s">
        <v>57</v>
      </c>
      <c r="C20" s="5" t="s">
        <v>58</v>
      </c>
      <c r="D20" s="5" t="s">
        <v>22</v>
      </c>
      <c r="E20" s="5" t="s">
        <v>59</v>
      </c>
      <c r="F20" s="6">
        <v>45049</v>
      </c>
      <c r="G20" s="8">
        <v>72000</v>
      </c>
      <c r="J20" s="4" t="s">
        <v>138</v>
      </c>
    </row>
    <row r="21" spans="2:10" x14ac:dyDescent="0.3">
      <c r="B21" s="7" t="s">
        <v>60</v>
      </c>
      <c r="C21" s="5" t="s">
        <v>61</v>
      </c>
      <c r="D21" s="5" t="s">
        <v>26</v>
      </c>
      <c r="E21" s="5" t="s">
        <v>62</v>
      </c>
      <c r="F21" s="6">
        <v>45146</v>
      </c>
      <c r="G21" s="8">
        <v>75000</v>
      </c>
      <c r="J21" s="2">
        <f>MAX(G7:G46)</f>
        <v>75000</v>
      </c>
    </row>
    <row r="22" spans="2:10" x14ac:dyDescent="0.3">
      <c r="B22" s="7" t="s">
        <v>63</v>
      </c>
      <c r="C22" s="5" t="s">
        <v>64</v>
      </c>
      <c r="D22" s="5" t="s">
        <v>30</v>
      </c>
      <c r="E22" s="5" t="s">
        <v>65</v>
      </c>
      <c r="F22" s="6">
        <v>45228</v>
      </c>
      <c r="G22" s="8">
        <v>48000</v>
      </c>
    </row>
    <row r="23" spans="2:10" ht="15.6" x14ac:dyDescent="0.3">
      <c r="B23" s="7" t="s">
        <v>66</v>
      </c>
      <c r="C23" s="5" t="s">
        <v>67</v>
      </c>
      <c r="D23" s="5" t="s">
        <v>34</v>
      </c>
      <c r="E23" s="5" t="s">
        <v>68</v>
      </c>
      <c r="F23" s="6">
        <v>44997</v>
      </c>
      <c r="G23" s="8">
        <v>68000</v>
      </c>
      <c r="J23" s="4" t="s">
        <v>139</v>
      </c>
    </row>
    <row r="24" spans="2:10" x14ac:dyDescent="0.3">
      <c r="B24" s="7" t="s">
        <v>69</v>
      </c>
      <c r="C24" s="5" t="s">
        <v>70</v>
      </c>
      <c r="D24" s="5" t="s">
        <v>38</v>
      </c>
      <c r="E24" s="5" t="s">
        <v>71</v>
      </c>
      <c r="F24" s="6">
        <v>45102</v>
      </c>
      <c r="G24" s="8">
        <v>70000</v>
      </c>
      <c r="J24" s="2">
        <f>COUNT(G7:G46)</f>
        <v>40</v>
      </c>
    </row>
    <row r="25" spans="2:10" x14ac:dyDescent="0.3">
      <c r="B25" s="7" t="s">
        <v>72</v>
      </c>
      <c r="C25" s="5" t="s">
        <v>73</v>
      </c>
      <c r="D25" s="5" t="s">
        <v>42</v>
      </c>
      <c r="E25" s="5" t="s">
        <v>74</v>
      </c>
      <c r="F25" s="6">
        <v>45199</v>
      </c>
      <c r="G25" s="8">
        <v>72000</v>
      </c>
    </row>
    <row r="26" spans="2:10" x14ac:dyDescent="0.3">
      <c r="B26" s="7" t="s">
        <v>75</v>
      </c>
      <c r="C26" s="5" t="s">
        <v>76</v>
      </c>
      <c r="D26" s="5" t="s">
        <v>46</v>
      </c>
      <c r="E26" s="5" t="s">
        <v>77</v>
      </c>
      <c r="F26" s="6">
        <v>44943</v>
      </c>
      <c r="G26" s="8">
        <v>75000</v>
      </c>
    </row>
    <row r="27" spans="2:10" x14ac:dyDescent="0.3">
      <c r="B27" s="7" t="s">
        <v>78</v>
      </c>
      <c r="C27" s="5" t="s">
        <v>79</v>
      </c>
      <c r="D27" s="5" t="s">
        <v>10</v>
      </c>
      <c r="E27" s="5" t="s">
        <v>80</v>
      </c>
      <c r="F27" s="6">
        <v>45112</v>
      </c>
      <c r="G27" s="8">
        <v>42000</v>
      </c>
    </row>
    <row r="28" spans="2:10" x14ac:dyDescent="0.3">
      <c r="B28" s="7" t="s">
        <v>81</v>
      </c>
      <c r="C28" s="5" t="s">
        <v>82</v>
      </c>
      <c r="D28" s="5" t="s">
        <v>14</v>
      </c>
      <c r="E28" s="5" t="s">
        <v>83</v>
      </c>
      <c r="F28" s="6">
        <v>45044</v>
      </c>
      <c r="G28" s="8">
        <v>48000</v>
      </c>
    </row>
    <row r="29" spans="2:10" x14ac:dyDescent="0.3">
      <c r="B29" s="7" t="s">
        <v>84</v>
      </c>
      <c r="C29" s="5" t="s">
        <v>85</v>
      </c>
      <c r="D29" s="5" t="s">
        <v>18</v>
      </c>
      <c r="E29" s="5" t="s">
        <v>86</v>
      </c>
      <c r="F29" s="6">
        <v>45242</v>
      </c>
      <c r="G29" s="8">
        <v>60000</v>
      </c>
    </row>
    <row r="30" spans="2:10" x14ac:dyDescent="0.3">
      <c r="B30" s="7" t="s">
        <v>87</v>
      </c>
      <c r="C30" s="5" t="s">
        <v>88</v>
      </c>
      <c r="D30" s="5" t="s">
        <v>22</v>
      </c>
      <c r="E30" s="5" t="s">
        <v>89</v>
      </c>
      <c r="F30" s="6">
        <v>45071</v>
      </c>
      <c r="G30" s="8">
        <v>55000</v>
      </c>
    </row>
    <row r="31" spans="2:10" x14ac:dyDescent="0.3">
      <c r="B31" s="7" t="s">
        <v>90</v>
      </c>
      <c r="C31" s="5" t="s">
        <v>25</v>
      </c>
      <c r="D31" s="5" t="s">
        <v>26</v>
      </c>
      <c r="E31" s="5" t="s">
        <v>91</v>
      </c>
      <c r="F31" s="6">
        <v>45168</v>
      </c>
      <c r="G31" s="8">
        <v>70000</v>
      </c>
    </row>
    <row r="32" spans="2:10" x14ac:dyDescent="0.3">
      <c r="B32" s="7" t="s">
        <v>92</v>
      </c>
      <c r="C32" s="5" t="s">
        <v>93</v>
      </c>
      <c r="D32" s="5" t="s">
        <v>30</v>
      </c>
      <c r="E32" s="5" t="s">
        <v>94</v>
      </c>
      <c r="F32" s="6">
        <v>45214</v>
      </c>
      <c r="G32" s="8">
        <v>55000</v>
      </c>
    </row>
    <row r="33" spans="2:7" x14ac:dyDescent="0.3">
      <c r="B33" s="7" t="s">
        <v>95</v>
      </c>
      <c r="C33" s="5" t="s">
        <v>96</v>
      </c>
      <c r="D33" s="5" t="s">
        <v>34</v>
      </c>
      <c r="E33" s="5" t="s">
        <v>97</v>
      </c>
      <c r="F33" s="6">
        <v>45013</v>
      </c>
      <c r="G33" s="8">
        <v>50000</v>
      </c>
    </row>
    <row r="34" spans="2:7" x14ac:dyDescent="0.3">
      <c r="B34" s="7" t="s">
        <v>98</v>
      </c>
      <c r="C34" s="5" t="s">
        <v>99</v>
      </c>
      <c r="D34" s="5" t="s">
        <v>38</v>
      </c>
      <c r="E34" s="5" t="s">
        <v>100</v>
      </c>
      <c r="F34" s="6">
        <v>45078</v>
      </c>
      <c r="G34" s="8">
        <v>48000</v>
      </c>
    </row>
    <row r="35" spans="2:7" x14ac:dyDescent="0.3">
      <c r="B35" s="7" t="s">
        <v>101</v>
      </c>
      <c r="C35" s="5" t="s">
        <v>102</v>
      </c>
      <c r="D35" s="5" t="s">
        <v>42</v>
      </c>
      <c r="E35" s="5" t="s">
        <v>103</v>
      </c>
      <c r="F35" s="6">
        <v>45177</v>
      </c>
      <c r="G35" s="8">
        <v>60000</v>
      </c>
    </row>
    <row r="36" spans="2:7" x14ac:dyDescent="0.3">
      <c r="B36" s="7" t="s">
        <v>104</v>
      </c>
      <c r="C36" s="5" t="s">
        <v>105</v>
      </c>
      <c r="D36" s="5" t="s">
        <v>46</v>
      </c>
      <c r="E36" s="5" t="s">
        <v>106</v>
      </c>
      <c r="F36" s="6">
        <v>44979</v>
      </c>
      <c r="G36" s="8">
        <v>62000</v>
      </c>
    </row>
    <row r="37" spans="2:7" x14ac:dyDescent="0.3">
      <c r="B37" s="7" t="s">
        <v>107</v>
      </c>
      <c r="C37" s="5" t="s">
        <v>108</v>
      </c>
      <c r="D37" s="5" t="s">
        <v>10</v>
      </c>
      <c r="E37" s="5" t="s">
        <v>109</v>
      </c>
      <c r="F37" s="6">
        <v>45124</v>
      </c>
      <c r="G37" s="8">
        <v>50000</v>
      </c>
    </row>
    <row r="38" spans="2:7" x14ac:dyDescent="0.3">
      <c r="B38" s="7" t="s">
        <v>110</v>
      </c>
      <c r="C38" s="5" t="s">
        <v>111</v>
      </c>
      <c r="D38" s="5" t="s">
        <v>14</v>
      </c>
      <c r="E38" s="5" t="s">
        <v>112</v>
      </c>
      <c r="F38" s="6">
        <v>45026</v>
      </c>
      <c r="G38" s="8">
        <v>42000</v>
      </c>
    </row>
    <row r="39" spans="2:7" x14ac:dyDescent="0.3">
      <c r="B39" s="7" t="s">
        <v>113</v>
      </c>
      <c r="C39" s="5" t="s">
        <v>114</v>
      </c>
      <c r="D39" s="5" t="s">
        <v>18</v>
      </c>
      <c r="E39" s="5" t="s">
        <v>115</v>
      </c>
      <c r="F39" s="6">
        <v>45256</v>
      </c>
      <c r="G39" s="8">
        <v>48000</v>
      </c>
    </row>
    <row r="40" spans="2:7" x14ac:dyDescent="0.3">
      <c r="B40" s="7" t="s">
        <v>116</v>
      </c>
      <c r="C40" s="5" t="s">
        <v>117</v>
      </c>
      <c r="D40" s="5" t="s">
        <v>22</v>
      </c>
      <c r="E40" s="5" t="s">
        <v>118</v>
      </c>
      <c r="F40" s="6">
        <v>45094</v>
      </c>
      <c r="G40" s="8">
        <v>50000</v>
      </c>
    </row>
    <row r="41" spans="2:7" x14ac:dyDescent="0.3">
      <c r="B41" s="7" t="s">
        <v>119</v>
      </c>
      <c r="C41" s="5" t="s">
        <v>120</v>
      </c>
      <c r="D41" s="5" t="s">
        <v>26</v>
      </c>
      <c r="E41" s="5" t="s">
        <v>121</v>
      </c>
      <c r="F41" s="6">
        <v>45189</v>
      </c>
      <c r="G41" s="8">
        <v>48000</v>
      </c>
    </row>
    <row r="42" spans="2:7" x14ac:dyDescent="0.3">
      <c r="B42" s="7" t="s">
        <v>122</v>
      </c>
      <c r="C42" s="5" t="s">
        <v>123</v>
      </c>
      <c r="D42" s="5" t="s">
        <v>30</v>
      </c>
      <c r="E42" s="5" t="s">
        <v>124</v>
      </c>
      <c r="F42" s="6">
        <v>45263</v>
      </c>
      <c r="G42" s="8">
        <v>42000</v>
      </c>
    </row>
    <row r="43" spans="2:7" x14ac:dyDescent="0.3">
      <c r="B43" s="7" t="s">
        <v>125</v>
      </c>
      <c r="C43" s="5" t="s">
        <v>126</v>
      </c>
      <c r="D43" s="5" t="s">
        <v>34</v>
      </c>
      <c r="E43" s="5" t="s">
        <v>127</v>
      </c>
      <c r="F43" s="6">
        <v>45022</v>
      </c>
      <c r="G43" s="8">
        <v>40000</v>
      </c>
    </row>
    <row r="44" spans="2:7" x14ac:dyDescent="0.3">
      <c r="B44" s="7" t="s">
        <v>128</v>
      </c>
      <c r="C44" s="5" t="s">
        <v>129</v>
      </c>
      <c r="D44" s="5" t="s">
        <v>38</v>
      </c>
      <c r="E44" s="5" t="s">
        <v>130</v>
      </c>
      <c r="F44" s="6">
        <v>45137</v>
      </c>
      <c r="G44" s="8">
        <v>42000</v>
      </c>
    </row>
    <row r="45" spans="2:7" x14ac:dyDescent="0.3">
      <c r="B45" s="7" t="s">
        <v>131</v>
      </c>
      <c r="C45" s="5" t="s">
        <v>17</v>
      </c>
      <c r="D45" s="5" t="s">
        <v>42</v>
      </c>
      <c r="E45" s="5" t="s">
        <v>132</v>
      </c>
      <c r="F45" s="6">
        <v>45224</v>
      </c>
      <c r="G45" s="8">
        <v>40000</v>
      </c>
    </row>
    <row r="46" spans="2:7" x14ac:dyDescent="0.3">
      <c r="B46" s="12" t="s">
        <v>133</v>
      </c>
      <c r="C46" s="13" t="s">
        <v>88</v>
      </c>
      <c r="D46" s="13" t="s">
        <v>46</v>
      </c>
      <c r="E46" s="13" t="s">
        <v>134</v>
      </c>
      <c r="F46" s="14">
        <v>45005</v>
      </c>
      <c r="G46" s="15">
        <v>42000</v>
      </c>
    </row>
    <row r="51" spans="3:10" x14ac:dyDescent="0.3">
      <c r="C51" s="17" t="s">
        <v>141</v>
      </c>
      <c r="D51" s="17" t="s">
        <v>142</v>
      </c>
      <c r="E51" s="17" t="s">
        <v>143</v>
      </c>
      <c r="H51" s="19" t="s">
        <v>141</v>
      </c>
      <c r="I51" s="20" t="s">
        <v>142</v>
      </c>
      <c r="J51" s="21" t="s">
        <v>143</v>
      </c>
    </row>
    <row r="52" spans="3:10" x14ac:dyDescent="0.3">
      <c r="C52" s="16" t="s">
        <v>8</v>
      </c>
      <c r="D52" s="16" t="s">
        <v>9</v>
      </c>
      <c r="E52" s="16">
        <v>60000</v>
      </c>
      <c r="H52" s="5" t="s">
        <v>44</v>
      </c>
      <c r="I52" s="5" t="s">
        <v>45</v>
      </c>
      <c r="J52" s="5">
        <v>56000</v>
      </c>
    </row>
    <row r="53" spans="3:10" x14ac:dyDescent="0.3">
      <c r="C53" s="5" t="s">
        <v>12</v>
      </c>
      <c r="D53" s="5" t="s">
        <v>13</v>
      </c>
      <c r="E53" s="5">
        <v>50000</v>
      </c>
      <c r="H53" s="16" t="s">
        <v>48</v>
      </c>
      <c r="I53" s="16" t="s">
        <v>49</v>
      </c>
      <c r="J53" s="16">
        <v>48000</v>
      </c>
    </row>
    <row r="54" spans="3:10" x14ac:dyDescent="0.3">
      <c r="C54" s="16" t="s">
        <v>16</v>
      </c>
      <c r="D54" s="16" t="s">
        <v>17</v>
      </c>
      <c r="E54" s="16">
        <v>55000</v>
      </c>
      <c r="H54" s="5" t="s">
        <v>51</v>
      </c>
      <c r="I54" s="5" t="s">
        <v>52</v>
      </c>
      <c r="J54" s="5">
        <v>65000</v>
      </c>
    </row>
    <row r="55" spans="3:10" x14ac:dyDescent="0.3">
      <c r="C55" s="5" t="s">
        <v>20</v>
      </c>
      <c r="D55" s="5" t="s">
        <v>21</v>
      </c>
      <c r="E55" s="5">
        <v>48000</v>
      </c>
      <c r="H55" s="16" t="s">
        <v>54</v>
      </c>
      <c r="I55" s="16" t="s">
        <v>55</v>
      </c>
      <c r="J55" s="16">
        <v>70000</v>
      </c>
    </row>
    <row r="56" spans="3:10" x14ac:dyDescent="0.3">
      <c r="C56" s="16" t="s">
        <v>24</v>
      </c>
      <c r="D56" s="16" t="s">
        <v>25</v>
      </c>
      <c r="E56" s="16">
        <v>60000</v>
      </c>
      <c r="H56" s="5" t="s">
        <v>57</v>
      </c>
      <c r="I56" s="5" t="s">
        <v>58</v>
      </c>
      <c r="J56" s="5">
        <v>72000</v>
      </c>
    </row>
    <row r="57" spans="3:10" x14ac:dyDescent="0.3">
      <c r="C57" s="5" t="s">
        <v>28</v>
      </c>
      <c r="D57" s="5" t="s">
        <v>29</v>
      </c>
      <c r="E57" s="5">
        <v>65000</v>
      </c>
      <c r="H57" s="16" t="s">
        <v>60</v>
      </c>
      <c r="I57" s="16" t="s">
        <v>61</v>
      </c>
      <c r="J57" s="16">
        <v>75000</v>
      </c>
    </row>
    <row r="58" spans="3:10" x14ac:dyDescent="0.3">
      <c r="C58" s="16" t="s">
        <v>32</v>
      </c>
      <c r="D58" s="16" t="s">
        <v>33</v>
      </c>
      <c r="E58" s="16">
        <v>45000</v>
      </c>
      <c r="H58" s="5" t="s">
        <v>63</v>
      </c>
      <c r="I58" s="5" t="s">
        <v>64</v>
      </c>
      <c r="J58" s="5">
        <v>48000</v>
      </c>
    </row>
    <row r="59" spans="3:10" x14ac:dyDescent="0.3">
      <c r="C59" s="5" t="s">
        <v>36</v>
      </c>
      <c r="D59" s="5" t="s">
        <v>37</v>
      </c>
      <c r="E59" s="5">
        <v>58000</v>
      </c>
      <c r="H59" s="16" t="s">
        <v>66</v>
      </c>
      <c r="I59" s="16" t="s">
        <v>67</v>
      </c>
      <c r="J59" s="16">
        <v>68000</v>
      </c>
    </row>
    <row r="60" spans="3:10" x14ac:dyDescent="0.3">
      <c r="C60" s="16" t="s">
        <v>40</v>
      </c>
      <c r="D60" s="16" t="s">
        <v>41</v>
      </c>
      <c r="E60" s="16">
        <v>52000</v>
      </c>
      <c r="H60" s="5" t="s">
        <v>69</v>
      </c>
      <c r="I60" s="2" t="s">
        <v>144</v>
      </c>
      <c r="J60" s="5">
        <v>70000</v>
      </c>
    </row>
    <row r="65" spans="5:8" x14ac:dyDescent="0.3">
      <c r="F65" s="18" t="s">
        <v>146</v>
      </c>
      <c r="H65" s="18" t="s">
        <v>147</v>
      </c>
    </row>
    <row r="66" spans="5:8" x14ac:dyDescent="0.3">
      <c r="F66" s="18" t="s">
        <v>145</v>
      </c>
      <c r="H66" s="2">
        <v>58000</v>
      </c>
    </row>
    <row r="67" spans="5:8" x14ac:dyDescent="0.3">
      <c r="E67" s="2" t="s">
        <v>149</v>
      </c>
      <c r="F67" s="2">
        <v>116000</v>
      </c>
      <c r="H67" s="2">
        <v>49000</v>
      </c>
    </row>
    <row r="68" spans="5:8" x14ac:dyDescent="0.3">
      <c r="F68" s="2">
        <v>98000</v>
      </c>
      <c r="H68" s="2">
        <v>60000</v>
      </c>
    </row>
    <row r="69" spans="5:8" x14ac:dyDescent="0.3">
      <c r="F69" s="2">
        <v>120000</v>
      </c>
      <c r="H69" s="2">
        <v>59000</v>
      </c>
    </row>
    <row r="70" spans="5:8" x14ac:dyDescent="0.3">
      <c r="F70" s="2">
        <v>118000</v>
      </c>
      <c r="H70" s="2">
        <v>66000</v>
      </c>
    </row>
    <row r="71" spans="5:8" x14ac:dyDescent="0.3">
      <c r="F71" s="2">
        <v>132000</v>
      </c>
      <c r="H71" s="2">
        <v>70000</v>
      </c>
    </row>
    <row r="72" spans="5:8" x14ac:dyDescent="0.3">
      <c r="F72" s="2">
        <v>140000</v>
      </c>
      <c r="H72" s="2">
        <v>46500</v>
      </c>
    </row>
    <row r="73" spans="5:8" x14ac:dyDescent="0.3">
      <c r="F73" s="2">
        <v>93000</v>
      </c>
      <c r="H73" s="2">
        <v>63000</v>
      </c>
    </row>
    <row r="74" spans="5:8" x14ac:dyDescent="0.3">
      <c r="F74" s="2">
        <v>126000</v>
      </c>
      <c r="H74" s="2">
        <v>61000</v>
      </c>
    </row>
  </sheetData>
  <dataConsolidate>
    <dataRefs count="2">
      <dataRef ref="E51:E60" sheet="demo1"/>
      <dataRef ref="J51:J60" sheet="demo1"/>
    </dataRefs>
  </dataConsolidate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498AC-4EF7-4C08-A128-5A882C1FC9C9}">
  <dimension ref="A1:H16"/>
  <sheetViews>
    <sheetView workbookViewId="0">
      <selection activeCell="J10" sqref="J10"/>
    </sheetView>
  </sheetViews>
  <sheetFormatPr defaultRowHeight="14.4" x14ac:dyDescent="0.3"/>
  <cols>
    <col min="1" max="1" width="15.77734375" customWidth="1"/>
    <col min="2" max="2" width="17" customWidth="1"/>
    <col min="3" max="3" width="14.5546875" customWidth="1"/>
    <col min="6" max="6" width="27.5546875" customWidth="1"/>
  </cols>
  <sheetData>
    <row r="1" spans="1:8" x14ac:dyDescent="0.3">
      <c r="A1" s="19" t="s">
        <v>141</v>
      </c>
      <c r="B1" s="20" t="s">
        <v>142</v>
      </c>
      <c r="C1" s="21" t="s">
        <v>143</v>
      </c>
    </row>
    <row r="2" spans="1:8" x14ac:dyDescent="0.3">
      <c r="A2" s="5" t="s">
        <v>44</v>
      </c>
      <c r="B2" s="5" t="s">
        <v>45</v>
      </c>
      <c r="C2" s="5">
        <v>56000</v>
      </c>
    </row>
    <row r="3" spans="1:8" x14ac:dyDescent="0.3">
      <c r="A3" s="16" t="s">
        <v>48</v>
      </c>
      <c r="B3" s="16" t="s">
        <v>49</v>
      </c>
      <c r="C3" s="16">
        <v>48000</v>
      </c>
    </row>
    <row r="4" spans="1:8" x14ac:dyDescent="0.3">
      <c r="A4" s="5" t="s">
        <v>51</v>
      </c>
      <c r="B4" s="5" t="s">
        <v>52</v>
      </c>
      <c r="C4" s="5">
        <v>65000</v>
      </c>
    </row>
    <row r="5" spans="1:8" x14ac:dyDescent="0.3">
      <c r="A5" s="16" t="s">
        <v>54</v>
      </c>
      <c r="B5" s="16" t="s">
        <v>55</v>
      </c>
      <c r="C5" s="16">
        <v>70000</v>
      </c>
    </row>
    <row r="6" spans="1:8" x14ac:dyDescent="0.3">
      <c r="A6" s="5" t="s">
        <v>57</v>
      </c>
      <c r="B6" s="5" t="s">
        <v>58</v>
      </c>
      <c r="C6" s="5">
        <v>72000</v>
      </c>
      <c r="F6" s="18" t="s">
        <v>148</v>
      </c>
    </row>
    <row r="7" spans="1:8" x14ac:dyDescent="0.3">
      <c r="A7" s="16" t="s">
        <v>60</v>
      </c>
      <c r="B7" s="16" t="s">
        <v>61</v>
      </c>
      <c r="C7" s="16">
        <v>75000</v>
      </c>
      <c r="F7" s="18" t="s">
        <v>146</v>
      </c>
      <c r="H7" s="18" t="s">
        <v>137</v>
      </c>
    </row>
    <row r="8" spans="1:8" x14ac:dyDescent="0.3">
      <c r="A8" s="5" t="s">
        <v>63</v>
      </c>
      <c r="B8" s="5" t="s">
        <v>64</v>
      </c>
      <c r="C8" s="5">
        <v>48000</v>
      </c>
      <c r="F8">
        <v>116000</v>
      </c>
      <c r="H8">
        <v>56000</v>
      </c>
    </row>
    <row r="9" spans="1:8" x14ac:dyDescent="0.3">
      <c r="A9" s="16" t="s">
        <v>66</v>
      </c>
      <c r="B9" s="16" t="s">
        <v>67</v>
      </c>
      <c r="C9" s="16">
        <v>68000</v>
      </c>
      <c r="F9">
        <v>98000</v>
      </c>
      <c r="H9">
        <v>48000</v>
      </c>
    </row>
    <row r="10" spans="1:8" x14ac:dyDescent="0.3">
      <c r="A10" s="5" t="s">
        <v>69</v>
      </c>
      <c r="B10" s="2" t="s">
        <v>144</v>
      </c>
      <c r="C10" s="5">
        <v>70000</v>
      </c>
      <c r="F10">
        <v>120000</v>
      </c>
      <c r="H10">
        <v>55000</v>
      </c>
    </row>
    <row r="11" spans="1:8" x14ac:dyDescent="0.3">
      <c r="F11">
        <v>118000</v>
      </c>
      <c r="H11">
        <v>48000</v>
      </c>
    </row>
    <row r="12" spans="1:8" x14ac:dyDescent="0.3">
      <c r="F12">
        <v>132000</v>
      </c>
      <c r="H12">
        <v>60000</v>
      </c>
    </row>
    <row r="13" spans="1:8" x14ac:dyDescent="0.3">
      <c r="F13">
        <v>140000</v>
      </c>
      <c r="H13">
        <v>65000</v>
      </c>
    </row>
    <row r="14" spans="1:8" x14ac:dyDescent="0.3">
      <c r="F14">
        <v>93000</v>
      </c>
      <c r="H14">
        <v>45000</v>
      </c>
    </row>
    <row r="15" spans="1:8" x14ac:dyDescent="0.3">
      <c r="F15">
        <v>126000</v>
      </c>
      <c r="H15">
        <v>58000</v>
      </c>
    </row>
    <row r="16" spans="1:8" x14ac:dyDescent="0.3">
      <c r="F16">
        <v>122000</v>
      </c>
      <c r="H16">
        <v>52000</v>
      </c>
    </row>
  </sheetData>
  <dataConsolidate function="min">
    <dataRefs count="2">
      <dataRef ref="E52:E60" sheet="demo1"/>
      <dataRef ref="C2:C10" sheet="demo2"/>
    </dataRefs>
  </dataConsolid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demo1</vt:lpstr>
      <vt:lpstr>demo2</vt:lpstr>
      <vt:lpstr>salary</vt:lpstr>
      <vt:lpstr>salary1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Seemanto Saha</dc:creator>
  <cp:lastModifiedBy>Manasi Kale</cp:lastModifiedBy>
  <dcterms:created xsi:type="dcterms:W3CDTF">2024-02-19T11:42:54Z</dcterms:created>
  <dcterms:modified xsi:type="dcterms:W3CDTF">2026-06-25T16:51:17Z</dcterms:modified>
</cp:coreProperties>
</file>